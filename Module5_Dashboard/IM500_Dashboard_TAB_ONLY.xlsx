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sz val="2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Priority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'Dashboard'!$A$8:$A$9</f>
            </numRef>
          </cat>
          <val>
            <numRef>
              <f>'Dashboard'!$B$8:$B$9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Failures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'Dashboard'!$D$8:$D$14</f>
            </numRef>
          </cat>
          <val>
            <numRef>
              <f>'Dashboard'!$E$8:$E$14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IM-500 Predictive Maintenance — Live Dashboard</t>
        </is>
      </c>
    </row>
    <row r="3">
      <c r="A3" s="2" t="inlineStr">
        <is>
          <t>Total Requests</t>
        </is>
      </c>
      <c r="B3" s="3" t="inlineStr">
        <is>
          <t>URGENT</t>
        </is>
      </c>
      <c r="C3" s="4" t="inlineStr">
        <is>
          <t>NORMAL</t>
        </is>
      </c>
    </row>
    <row r="4">
      <c r="A4" s="5">
        <f>COUNTA(Sheet1!C2:C1000)</f>
        <v/>
      </c>
      <c r="B4" s="6">
        <f>COUNTIF(Sheet1!H2:H1000,"URGENT")</f>
        <v/>
      </c>
      <c r="C4" s="7">
        <f>COUNTIF(Sheet1!H2:H1000,"NORMAL")</f>
        <v/>
      </c>
    </row>
    <row r="7">
      <c r="A7" s="8" t="inlineStr">
        <is>
          <t>Priority</t>
        </is>
      </c>
      <c r="B7" s="8" t="inlineStr">
        <is>
          <t>Count</t>
        </is>
      </c>
      <c r="D7" s="8" t="inlineStr">
        <is>
          <t>Component</t>
        </is>
      </c>
      <c r="E7" s="8" t="inlineStr">
        <is>
          <t>Count</t>
        </is>
      </c>
    </row>
    <row r="8">
      <c r="A8" t="inlineStr">
        <is>
          <t>URGENT</t>
        </is>
      </c>
      <c r="B8">
        <f>COUNTIF(Sheet1!H2:H1000,"URGENT")</f>
        <v/>
      </c>
      <c r="D8" t="inlineStr">
        <is>
          <t>Servo Encoder EN-77</t>
        </is>
      </c>
      <c r="E8">
        <f>COUNTIF(Sheet1!C2:C1000,D8)</f>
        <v/>
      </c>
    </row>
    <row r="9">
      <c r="A9" t="inlineStr">
        <is>
          <t>NORMAL</t>
        </is>
      </c>
      <c r="B9">
        <f>COUNTIF(Sheet1!H2:H1000,"NORMAL")</f>
        <v/>
      </c>
      <c r="D9" t="inlineStr">
        <is>
          <t>Hydraulic Pump Bearing</t>
        </is>
      </c>
      <c r="E9">
        <f>COUNTIF(Sheet1!C2:C1000,D9)</f>
        <v/>
      </c>
    </row>
    <row r="10">
      <c r="D10" t="inlineStr">
        <is>
          <t>Injection Screw</t>
        </is>
      </c>
      <c r="E10">
        <f>COUNTIF(Sheet1!C2:C1000,D10)</f>
        <v/>
      </c>
    </row>
    <row r="11">
      <c r="D11" t="inlineStr">
        <is>
          <t>Barrel Heater Band</t>
        </is>
      </c>
      <c r="E11">
        <f>COUNTIF(Sheet1!C2:C1000,D11)</f>
        <v/>
      </c>
    </row>
    <row r="12">
      <c r="D12" t="inlineStr">
        <is>
          <t>Cooling Circuit</t>
        </is>
      </c>
      <c r="E12">
        <f>COUNTIF(Sheet1!C2:C1000,D12)</f>
        <v/>
      </c>
    </row>
    <row r="13">
      <c r="D13" t="inlineStr">
        <is>
          <t>Hydraulic Pump Seal</t>
        </is>
      </c>
      <c r="E13">
        <f>COUNTIF(Sheet1!C2:C1000,D13)</f>
        <v/>
      </c>
    </row>
    <row r="14">
      <c r="D14" t="inlineStr">
        <is>
          <t>Thermocouple</t>
        </is>
      </c>
      <c r="E14">
        <f>COUNTIF(Sheet1!C2:C1000,D14)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2026-08-19T03:56:57Z</dcterms:created>
  <dcterms:modified xmlns:dcterms="http://purl.org/dc/terms/" xmlns:xsi="http://www.w3.org/2001/XMLSchema-instance" xsi:type="dcterms:W3CDTF">2026-08-19T03:56:57Z</dcterms:modified>
</cp:coreProperties>
</file>