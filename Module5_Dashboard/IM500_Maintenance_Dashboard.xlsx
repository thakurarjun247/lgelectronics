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6"/>
    </font>
    <font>
      <b val="1"/>
    </font>
    <font>
      <b val="1"/>
      <sz val="2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990000"/>
      </font>
      <fill>
        <patternFill patternType="solid">
          <fgColor rgb="00F4CCCC"/>
        </patternFill>
      </fill>
    </dxf>
    <dxf>
      <font>
        <color rgb="00274E13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by Priority</a:t>
            </a:r>
          </a:p>
        </rich>
      </tx>
    </title>
    <plotArea>
      <pieChart>
        <varyColors val="1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'Dashboard'!$A$8:$A$9</f>
            </numRef>
          </cat>
          <val>
            <numRef>
              <f>'Dashboard'!$B$8:$B$9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Failures by Component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'Dashboard'!$D$8:$D$14</f>
            </numRef>
          </cat>
          <val>
            <numRef>
              <f>'Dashboard'!$E$8:$E$14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0" customWidth="1" min="4" max="4"/>
    <col width="10" customWidth="1" min="5" max="5"/>
    <col width="17" customWidth="1" min="6" max="6"/>
    <col width="19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Failing Component</t>
        </is>
      </c>
      <c r="D1" s="1" t="inlineStr">
        <is>
          <t>Part No</t>
        </is>
      </c>
      <c r="E1" s="1" t="inlineStr">
        <is>
          <t>In Stock</t>
        </is>
      </c>
      <c r="F1" s="1" t="inlineStr">
        <is>
          <t>Failure In (days)</t>
        </is>
      </c>
      <c r="G1" s="1" t="inlineStr">
        <is>
          <t>Schedule By (days)</t>
        </is>
      </c>
      <c r="H1" s="1" t="inlineStr">
        <is>
          <t>Priority</t>
        </is>
      </c>
    </row>
    <row r="2">
      <c r="A2" t="inlineStr">
        <is>
          <t>2026-08-10T08:12:04.000+05:30</t>
        </is>
      </c>
      <c r="B2" t="inlineStr">
        <is>
          <t>IM-500 (Bay 3)</t>
        </is>
      </c>
      <c r="C2" t="inlineStr">
        <is>
          <t>Servo Encoder EN-77</t>
        </is>
      </c>
      <c r="D2" t="inlineStr">
        <is>
          <t>EN-77</t>
        </is>
      </c>
      <c r="E2" t="n">
        <v>0</v>
      </c>
      <c r="F2" t="n">
        <v>6</v>
      </c>
      <c r="G2" t="n">
        <v>6</v>
      </c>
      <c r="H2" t="inlineStr">
        <is>
          <t>URGENT</t>
        </is>
      </c>
    </row>
    <row r="3">
      <c r="A3" t="inlineStr">
        <is>
          <t>2026-08-11T14:33:20.000+05:30</t>
        </is>
      </c>
      <c r="B3" t="inlineStr">
        <is>
          <t>IM-500 (Bay 3)</t>
        </is>
      </c>
      <c r="C3" t="inlineStr">
        <is>
          <t>Hydraulic Pump Bearing</t>
        </is>
      </c>
      <c r="D3" t="inlineStr">
        <is>
          <t>BR-3105</t>
        </is>
      </c>
      <c r="E3" t="n">
        <v>4</v>
      </c>
      <c r="F3" t="n">
        <v>7</v>
      </c>
      <c r="G3" t="n">
        <v>7</v>
      </c>
      <c r="H3" t="inlineStr">
        <is>
          <t>NORMAL</t>
        </is>
      </c>
    </row>
    <row r="4">
      <c r="A4" t="inlineStr">
        <is>
          <t>2026-08-12T09:47:11.000+05:30</t>
        </is>
      </c>
      <c r="B4" t="inlineStr">
        <is>
          <t>IM-500 (Bay 3)</t>
        </is>
      </c>
      <c r="C4" t="inlineStr">
        <is>
          <t>Injection Screw</t>
        </is>
      </c>
      <c r="D4" t="inlineStr">
        <is>
          <t>ST-90</t>
        </is>
      </c>
      <c r="E4" t="n">
        <v>0</v>
      </c>
      <c r="F4" t="n">
        <v>12</v>
      </c>
      <c r="G4" t="n">
        <v>12</v>
      </c>
      <c r="H4" t="inlineStr">
        <is>
          <t>URGENT</t>
        </is>
      </c>
    </row>
    <row r="5">
      <c r="A5" t="inlineStr">
        <is>
          <t>2026-08-13T11:05:52.000+05:30</t>
        </is>
      </c>
      <c r="B5" t="inlineStr">
        <is>
          <t>IM-500 (Bay 3)</t>
        </is>
      </c>
      <c r="C5" t="inlineStr">
        <is>
          <t>Barrel Heater Band</t>
        </is>
      </c>
      <c r="D5" t="inlineStr">
        <is>
          <t>HB-220</t>
        </is>
      </c>
      <c r="E5" t="n">
        <v>3</v>
      </c>
      <c r="F5" t="n">
        <v>14</v>
      </c>
      <c r="G5" t="n">
        <v>14</v>
      </c>
      <c r="H5" t="inlineStr">
        <is>
          <t>NORMAL</t>
        </is>
      </c>
    </row>
    <row r="6">
      <c r="A6" t="inlineStr">
        <is>
          <t>2026-08-14T16:20:39.000+05:30</t>
        </is>
      </c>
      <c r="B6" t="inlineStr">
        <is>
          <t>IM-500 (Bay 3)</t>
        </is>
      </c>
      <c r="C6" t="inlineStr">
        <is>
          <t>Cooling Circuit</t>
        </is>
      </c>
      <c r="D6" t="inlineStr">
        <is>
          <t>CF-08</t>
        </is>
      </c>
      <c r="E6" t="n">
        <v>6</v>
      </c>
      <c r="F6" t="n">
        <v>10</v>
      </c>
      <c r="G6" t="n">
        <v>10</v>
      </c>
      <c r="H6" t="inlineStr">
        <is>
          <t>NORMAL</t>
        </is>
      </c>
    </row>
    <row r="7">
      <c r="A7" t="inlineStr">
        <is>
          <t>2026-08-15T07:58:03.000+05:30</t>
        </is>
      </c>
      <c r="B7" t="inlineStr">
        <is>
          <t>IM-500 (Bay 3)</t>
        </is>
      </c>
      <c r="C7" t="inlineStr">
        <is>
          <t>Servo Encoder EN-77</t>
        </is>
      </c>
      <c r="D7" t="inlineStr">
        <is>
          <t>EN-77</t>
        </is>
      </c>
      <c r="E7" t="n">
        <v>0</v>
      </c>
      <c r="F7" t="n">
        <v>6</v>
      </c>
      <c r="G7" t="n">
        <v>5</v>
      </c>
      <c r="H7" t="inlineStr">
        <is>
          <t>URGENT</t>
        </is>
      </c>
    </row>
    <row r="8">
      <c r="A8" t="inlineStr">
        <is>
          <t>2026-08-16T10:14:47.000+05:30</t>
        </is>
      </c>
      <c r="B8" t="inlineStr">
        <is>
          <t>IM-500 (Bay 3)</t>
        </is>
      </c>
      <c r="C8" t="inlineStr">
        <is>
          <t>Hydraulic Pump Seal</t>
        </is>
      </c>
      <c r="D8" t="inlineStr">
        <is>
          <t>SK-4620</t>
        </is>
      </c>
      <c r="E8" t="n">
        <v>1</v>
      </c>
      <c r="F8" t="n">
        <v>10</v>
      </c>
      <c r="G8" t="n">
        <v>10</v>
      </c>
      <c r="H8" t="inlineStr">
        <is>
          <t>NORMAL</t>
        </is>
      </c>
    </row>
    <row r="9">
      <c r="A9" t="inlineStr">
        <is>
          <t>2026-08-17T13:41:29.000+05:30</t>
        </is>
      </c>
      <c r="B9" t="inlineStr">
        <is>
          <t>IM-500 (Bay 3)</t>
        </is>
      </c>
      <c r="C9" t="inlineStr">
        <is>
          <t>Thermocouple</t>
        </is>
      </c>
      <c r="D9" t="inlineStr">
        <is>
          <t>TC-11</t>
        </is>
      </c>
      <c r="E9" t="n">
        <v>0</v>
      </c>
      <c r="F9" t="n">
        <v>14</v>
      </c>
      <c r="G9" t="n">
        <v>13</v>
      </c>
      <c r="H9" t="inlineStr">
        <is>
          <t>URGENT</t>
        </is>
      </c>
    </row>
    <row r="10">
      <c r="A10" t="inlineStr">
        <is>
          <t>2026-08-18T08:33:15.000+05:30</t>
        </is>
      </c>
      <c r="B10" t="inlineStr">
        <is>
          <t>IM-500 (Bay 3)</t>
        </is>
      </c>
      <c r="C10" t="inlineStr">
        <is>
          <t>Hydraulic Pump Bearing</t>
        </is>
      </c>
      <c r="D10" t="inlineStr">
        <is>
          <t>BR-3105</t>
        </is>
      </c>
      <c r="E10" t="n">
        <v>4</v>
      </c>
      <c r="F10" t="n">
        <v>7</v>
      </c>
      <c r="G10" t="n">
        <v>6</v>
      </c>
      <c r="H10" t="inlineStr">
        <is>
          <t>NORMAL</t>
        </is>
      </c>
    </row>
    <row r="11">
      <c r="A11" t="inlineStr">
        <is>
          <t>2026-08-18T15:09:58.000+05:30</t>
        </is>
      </c>
      <c r="B11" t="inlineStr">
        <is>
          <t>IM-500 (Bay 3)</t>
        </is>
      </c>
      <c r="C11" t="inlineStr">
        <is>
          <t>Barrel Heater Band</t>
        </is>
      </c>
      <c r="D11" t="inlineStr">
        <is>
          <t>HB-220</t>
        </is>
      </c>
      <c r="E11" t="n">
        <v>3</v>
      </c>
      <c r="F11" t="n">
        <v>14</v>
      </c>
      <c r="G11" t="n">
        <v>13</v>
      </c>
      <c r="H11" t="inlineStr">
        <is>
          <t>NORMAL</t>
        </is>
      </c>
    </row>
    <row r="12">
      <c r="A12" t="inlineStr">
        <is>
          <t>2026-08-19T07:22:41.000+05:30</t>
        </is>
      </c>
      <c r="B12" t="inlineStr">
        <is>
          <t>IM-500 (Bay 3)</t>
        </is>
      </c>
      <c r="C12" t="inlineStr">
        <is>
          <t>Cooling Circuit</t>
        </is>
      </c>
      <c r="D12" t="inlineStr">
        <is>
          <t>CF-08</t>
        </is>
      </c>
      <c r="E12" t="n">
        <v>6</v>
      </c>
      <c r="F12" t="n">
        <v>10</v>
      </c>
      <c r="G12" t="n">
        <v>9</v>
      </c>
      <c r="H12" t="inlineStr">
        <is>
          <t>NORMAL</t>
        </is>
      </c>
    </row>
    <row r="13">
      <c r="A13" t="inlineStr">
        <is>
          <t>2026-08-19T09:04:13.000+05:30</t>
        </is>
      </c>
      <c r="B13" t="inlineStr">
        <is>
          <t>IM-500 (Bay 3)</t>
        </is>
      </c>
      <c r="C13" t="inlineStr">
        <is>
          <t>Servo Encoder EN-77</t>
        </is>
      </c>
      <c r="D13" t="inlineStr">
        <is>
          <t>EN-77</t>
        </is>
      </c>
      <c r="E13" t="n">
        <v>0</v>
      </c>
      <c r="F13" t="n">
        <v>6</v>
      </c>
      <c r="G13" t="n">
        <v>6</v>
      </c>
      <c r="H13" t="inlineStr">
        <is>
          <t>URGENT</t>
        </is>
      </c>
    </row>
  </sheetData>
  <conditionalFormatting sqref="H2:H1000">
    <cfRule type="cellIs" priority="1" operator="equal" dxfId="0">
      <formula>"URGENT"</formula>
    </cfRule>
    <cfRule type="cellIs" priority="2" operator="equal" dxfId="1">
      <formula>"NORMAL"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</cols>
  <sheetData>
    <row r="1">
      <c r="A1" s="2" t="inlineStr">
        <is>
          <t>IM-500 Predictive Maintenance — Live Dashboard</t>
        </is>
      </c>
    </row>
    <row r="3">
      <c r="A3" s="3" t="inlineStr">
        <is>
          <t>Total Requests</t>
        </is>
      </c>
      <c r="B3" s="4" t="inlineStr">
        <is>
          <t>URGENT</t>
        </is>
      </c>
      <c r="C3" s="5" t="inlineStr">
        <is>
          <t>NORMAL</t>
        </is>
      </c>
    </row>
    <row r="4">
      <c r="A4" s="6">
        <f>COUNTA(Sheet1!C2:C1000)</f>
        <v/>
      </c>
      <c r="B4" s="7">
        <f>COUNTIF(Sheet1!H2:H1000,"URGENT")</f>
        <v/>
      </c>
      <c r="C4" s="8">
        <f>COUNTIF(Sheet1!H2:H1000,"NORMAL")</f>
        <v/>
      </c>
    </row>
    <row r="7">
      <c r="A7" s="9" t="inlineStr">
        <is>
          <t>Priority</t>
        </is>
      </c>
      <c r="B7" s="9" t="inlineStr">
        <is>
          <t>Count</t>
        </is>
      </c>
      <c r="D7" s="9" t="inlineStr">
        <is>
          <t>Component</t>
        </is>
      </c>
      <c r="E7" s="9" t="inlineStr">
        <is>
          <t>Count</t>
        </is>
      </c>
    </row>
    <row r="8">
      <c r="A8" t="inlineStr">
        <is>
          <t>URGENT</t>
        </is>
      </c>
      <c r="B8">
        <f>COUNTIF(Sheet1!H2:H1000,"URGENT")</f>
        <v/>
      </c>
      <c r="D8" t="inlineStr">
        <is>
          <t>Servo Encoder EN-77</t>
        </is>
      </c>
      <c r="E8">
        <f>COUNTIF(Sheet1!C2:C1000,D8)</f>
        <v/>
      </c>
    </row>
    <row r="9">
      <c r="A9" t="inlineStr">
        <is>
          <t>NORMAL</t>
        </is>
      </c>
      <c r="B9">
        <f>COUNTIF(Sheet1!H2:H1000,"NORMAL")</f>
        <v/>
      </c>
      <c r="D9" t="inlineStr">
        <is>
          <t>Hydraulic Pump Bearing</t>
        </is>
      </c>
      <c r="E9">
        <f>COUNTIF(Sheet1!C2:C1000,D9)</f>
        <v/>
      </c>
    </row>
    <row r="10">
      <c r="D10" t="inlineStr">
        <is>
          <t>Injection Screw</t>
        </is>
      </c>
      <c r="E10">
        <f>COUNTIF(Sheet1!C2:C1000,D10)</f>
        <v/>
      </c>
    </row>
    <row r="11">
      <c r="D11" t="inlineStr">
        <is>
          <t>Barrel Heater Band</t>
        </is>
      </c>
      <c r="E11">
        <f>COUNTIF(Sheet1!C2:C1000,D11)</f>
        <v/>
      </c>
    </row>
    <row r="12">
      <c r="D12" t="inlineStr">
        <is>
          <t>Cooling Circuit</t>
        </is>
      </c>
      <c r="E12">
        <f>COUNTIF(Sheet1!C2:C1000,D12)</f>
        <v/>
      </c>
    </row>
    <row r="13">
      <c r="D13" t="inlineStr">
        <is>
          <t>Hydraulic Pump Seal</t>
        </is>
      </c>
      <c r="E13">
        <f>COUNTIF(Sheet1!C2:C1000,D13)</f>
        <v/>
      </c>
    </row>
    <row r="14">
      <c r="D14" t="inlineStr">
        <is>
          <t>Thermocouple</t>
        </is>
      </c>
      <c r="E14">
        <f>COUNTIF(Sheet1!C2:C1000,D14)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2026-08-19T03:52:44Z</dcterms:created>
  <dcterms:modified xmlns:dcterms="http://purl.org/dc/terms/" xmlns:xsi="http://www.w3.org/2001/XMLSchema-instance" xsi:type="dcterms:W3CDTF">2026-08-19T03:52:44Z</dcterms:modified>
</cp:coreProperties>
</file>